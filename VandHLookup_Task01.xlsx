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Data Analytics\Excel\Day 12 2\"/>
    </mc:Choice>
  </mc:AlternateContent>
  <xr:revisionPtr revIDLastSave="0" documentId="13_ncr:1_{55C24701-77E4-49E4-9883-16ABBF0E78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andHLOOKUP Task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2" i="1" l="1"/>
  <c r="N52" i="1"/>
  <c r="O52" i="1"/>
  <c r="P52" i="1"/>
  <c r="Q52" i="1"/>
  <c r="Q56" i="1"/>
  <c r="Q53" i="1"/>
  <c r="Q51" i="1"/>
  <c r="Q50" i="1"/>
  <c r="Q49" i="1"/>
  <c r="N38" i="1"/>
  <c r="O38" i="1"/>
  <c r="Q38" i="1"/>
  <c r="R38" i="1"/>
  <c r="P38" i="1"/>
  <c r="O29" i="1"/>
  <c r="Q29" i="1"/>
  <c r="R29" i="1"/>
  <c r="P29" i="1"/>
  <c r="P34" i="1"/>
  <c r="P31" i="1"/>
  <c r="P30" i="1"/>
  <c r="P28" i="1"/>
  <c r="P27" i="1"/>
  <c r="P18" i="1"/>
  <c r="Q18" i="1"/>
  <c r="R18" i="1"/>
  <c r="O18" i="1"/>
  <c r="P23" i="1"/>
  <c r="P20" i="1"/>
  <c r="P19" i="1"/>
  <c r="P17" i="1"/>
  <c r="P16" i="1"/>
  <c r="O7" i="1"/>
  <c r="R7" i="1"/>
  <c r="P7" i="1"/>
  <c r="Q12" i="1"/>
  <c r="Q7" i="1" s="1"/>
  <c r="Q11" i="1"/>
  <c r="Q8" i="1"/>
  <c r="Q6" i="1"/>
  <c r="Q5" i="1"/>
  <c r="Q4" i="1"/>
  <c r="F36" i="1"/>
  <c r="F38" i="1"/>
  <c r="F39" i="1"/>
  <c r="F40" i="1"/>
  <c r="F37" i="1"/>
  <c r="G28" i="1"/>
  <c r="G29" i="1"/>
  <c r="G30" i="1"/>
  <c r="G31" i="1"/>
  <c r="G32" i="1"/>
  <c r="E20" i="1"/>
  <c r="E21" i="1" l="1"/>
  <c r="E23" i="1"/>
  <c r="E24" i="1"/>
  <c r="E22" i="1"/>
  <c r="E14" i="1"/>
  <c r="E13" i="1"/>
  <c r="E15" i="1"/>
  <c r="E16" i="1"/>
  <c r="E12" i="1"/>
  <c r="F5" i="1"/>
  <c r="F6" i="1"/>
  <c r="F7" i="1"/>
  <c r="F8" i="1"/>
  <c r="F4" i="1"/>
</calcChain>
</file>

<file path=xl/sharedStrings.xml><?xml version="1.0" encoding="utf-8"?>
<sst xmlns="http://schemas.openxmlformats.org/spreadsheetml/2006/main" count="225" uniqueCount="61">
  <si>
    <t>ID</t>
  </si>
  <si>
    <t>Name</t>
  </si>
  <si>
    <t>Department</t>
  </si>
  <si>
    <t>Salary</t>
  </si>
  <si>
    <t>Location</t>
  </si>
  <si>
    <t>Amit</t>
  </si>
  <si>
    <t>HR</t>
  </si>
  <si>
    <t>Delhi</t>
  </si>
  <si>
    <t>Riya</t>
  </si>
  <si>
    <t>IT</t>
  </si>
  <si>
    <t>Mumbai</t>
  </si>
  <si>
    <t>Sam</t>
  </si>
  <si>
    <t>Finance</t>
  </si>
  <si>
    <t>Pune</t>
  </si>
  <si>
    <t>Neha</t>
  </si>
  <si>
    <t>Marketing</t>
  </si>
  <si>
    <t>Bangalore</t>
  </si>
  <si>
    <t>Kiran</t>
  </si>
  <si>
    <t>Sales</t>
  </si>
  <si>
    <t>Chennai</t>
  </si>
  <si>
    <t>ProductID</t>
  </si>
  <si>
    <t>Product</t>
  </si>
  <si>
    <t>Price</t>
  </si>
  <si>
    <t>Stock</t>
  </si>
  <si>
    <t>Supplier</t>
  </si>
  <si>
    <t>Pen</t>
  </si>
  <si>
    <t>A1</t>
  </si>
  <si>
    <t>Pencil</t>
  </si>
  <si>
    <t>B2</t>
  </si>
  <si>
    <t>Notebook</t>
  </si>
  <si>
    <t>C3</t>
  </si>
  <si>
    <t>Eraser</t>
  </si>
  <si>
    <t>D4</t>
  </si>
  <si>
    <t>Marker</t>
  </si>
  <si>
    <t>E5</t>
  </si>
  <si>
    <t>RollNo</t>
  </si>
  <si>
    <t>Student</t>
  </si>
  <si>
    <t>Maths</t>
  </si>
  <si>
    <t>Science</t>
  </si>
  <si>
    <t>English</t>
  </si>
  <si>
    <t>Anil</t>
  </si>
  <si>
    <t>Priya</t>
  </si>
  <si>
    <t>Vikram</t>
  </si>
  <si>
    <t>Sonali</t>
  </si>
  <si>
    <t>Rahul</t>
  </si>
  <si>
    <t>OrderID</t>
  </si>
  <si>
    <t>Customer</t>
  </si>
  <si>
    <t>Quantity</t>
  </si>
  <si>
    <t>Amount</t>
  </si>
  <si>
    <t>Raj</t>
  </si>
  <si>
    <t>Laptop</t>
  </si>
  <si>
    <t>Simran</t>
  </si>
  <si>
    <t>Mobile</t>
  </si>
  <si>
    <t>Aman</t>
  </si>
  <si>
    <t>Tablet</t>
  </si>
  <si>
    <t>Pooja</t>
  </si>
  <si>
    <t>Printer</t>
  </si>
  <si>
    <t>Vivek</t>
  </si>
  <si>
    <t>Camera</t>
  </si>
  <si>
    <t>VLookup</t>
  </si>
  <si>
    <t>Hlookup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</si>
</sst>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3" borderId="1" xfId="0" applyFill="1" applyBorder="1"/>
    <xf numFmtId="0" fontId="0" fillId="4" borderId="1" xfId="0" applyFill="1" applyBorder="1"/>
    <xf numFmtId="0" fontId="1" fillId="5" borderId="1" xfId="0" applyFont="1" applyFill="1" applyBorder="1" applyAlignment="1">
      <alignment horizontal="center" vertical="top"/>
    </xf>
    <xf numFmtId="0" fontId="1" fillId="6" borderId="1" xfId="0" applyFont="1" applyFill="1" applyBorder="1" applyAlignment="1">
      <alignment horizontal="center" vertical="top"/>
    </xf>
    <xf numFmtId="0" fontId="0" fillId="7" borderId="1" xfId="0" applyFill="1" applyBorder="1"/>
    <xf numFmtId="0" fontId="1" fillId="8" borderId="1" xfId="0" applyFont="1" applyFill="1" applyBorder="1" applyAlignment="1">
      <alignment horizontal="center" vertical="top"/>
    </xf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2" fillId="0" borderId="0" xfId="0" applyFont="1" applyAlignment="1">
      <alignment horizontal="center"/>
    </xf>
    <xf numFmtId="0" fontId="0" fillId="8" borderId="1" xfId="0" applyFill="1" applyBorder="1"/>
    <xf numFmtId="0" fontId="0" fillId="12" borderId="1" xfId="0" applyFill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R56"/>
  <sheetViews>
    <sheetView tabSelected="1" topLeftCell="A30" zoomScaleNormal="100" workbookViewId="0">
      <selection activeCell="J46" sqref="J46"/>
    </sheetView>
  </sheetViews>
  <sheetFormatPr defaultRowHeight="14.4" x14ac:dyDescent="0.3"/>
  <cols>
    <col min="2" max="2" width="5.77734375" customWidth="1"/>
    <col min="3" max="3" width="9.44140625" bestFit="1" customWidth="1"/>
    <col min="4" max="4" width="9.44140625" customWidth="1"/>
    <col min="5" max="5" width="11.109375" bestFit="1" customWidth="1"/>
    <col min="6" max="6" width="11" customWidth="1"/>
    <col min="7" max="7" width="14" customWidth="1"/>
    <col min="9" max="9" width="11.109375" bestFit="1" customWidth="1"/>
    <col min="10" max="10" width="11.44140625" customWidth="1"/>
    <col min="16" max="16" width="11.109375" bestFit="1" customWidth="1"/>
    <col min="18" max="18" width="9.21875" bestFit="1" customWidth="1"/>
  </cols>
  <sheetData>
    <row r="1" spans="3:18" ht="25.8" x14ac:dyDescent="0.5">
      <c r="F1" s="11" t="s">
        <v>59</v>
      </c>
      <c r="G1" s="11"/>
      <c r="O1" s="14" t="s">
        <v>60</v>
      </c>
      <c r="P1" s="14"/>
      <c r="Q1" s="14"/>
    </row>
    <row r="3" spans="3:18" x14ac:dyDescent="0.3"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I3" s="1" t="s">
        <v>2</v>
      </c>
      <c r="J3" s="1" t="s">
        <v>3</v>
      </c>
      <c r="N3" s="1" t="s">
        <v>0</v>
      </c>
      <c r="O3" s="1" t="s">
        <v>1</v>
      </c>
      <c r="P3" s="1" t="s">
        <v>2</v>
      </c>
      <c r="Q3" s="1" t="s">
        <v>3</v>
      </c>
      <c r="R3" s="1" t="s">
        <v>4</v>
      </c>
    </row>
    <row r="4" spans="3:18" x14ac:dyDescent="0.3">
      <c r="C4" s="2">
        <v>101</v>
      </c>
      <c r="D4" s="2" t="s">
        <v>5</v>
      </c>
      <c r="E4" s="2" t="s">
        <v>6</v>
      </c>
      <c r="F4" s="2">
        <f>VLOOKUP(E4,$I$3:$J$8,2,FALSE)</f>
        <v>50000</v>
      </c>
      <c r="G4" s="2" t="s">
        <v>7</v>
      </c>
      <c r="I4" s="2" t="s">
        <v>12</v>
      </c>
      <c r="J4" s="2">
        <v>55000</v>
      </c>
      <c r="N4" s="2">
        <v>101</v>
      </c>
      <c r="O4" s="2" t="s">
        <v>5</v>
      </c>
      <c r="P4" s="2" t="s">
        <v>6</v>
      </c>
      <c r="Q4" s="2">
        <f>VLOOKUP(P4,$I$3:$J$8,2,FALSE)</f>
        <v>50000</v>
      </c>
      <c r="R4" s="2" t="s">
        <v>7</v>
      </c>
    </row>
    <row r="5" spans="3:18" x14ac:dyDescent="0.3">
      <c r="C5" s="2">
        <v>102</v>
      </c>
      <c r="D5" s="2" t="s">
        <v>8</v>
      </c>
      <c r="E5" s="2" t="s">
        <v>9</v>
      </c>
      <c r="F5" s="2">
        <f t="shared" ref="F5:F8" si="0">VLOOKUP(E5,$I$3:$J$8,2,FALSE)</f>
        <v>60000</v>
      </c>
      <c r="G5" s="2" t="s">
        <v>10</v>
      </c>
      <c r="I5" s="2" t="s">
        <v>15</v>
      </c>
      <c r="J5" s="2">
        <v>58000</v>
      </c>
      <c r="N5" s="2">
        <v>102</v>
      </c>
      <c r="O5" s="2" t="s">
        <v>8</v>
      </c>
      <c r="P5" s="2" t="s">
        <v>9</v>
      </c>
      <c r="Q5" s="2">
        <f t="shared" ref="Q5:Q8" si="1">VLOOKUP(P5,$I$3:$J$8,2,FALSE)</f>
        <v>60000</v>
      </c>
      <c r="R5" s="2" t="s">
        <v>10</v>
      </c>
    </row>
    <row r="6" spans="3:18" x14ac:dyDescent="0.3">
      <c r="C6" s="2">
        <v>103</v>
      </c>
      <c r="D6" s="2" t="s">
        <v>11</v>
      </c>
      <c r="E6" s="2" t="s">
        <v>12</v>
      </c>
      <c r="F6" s="2">
        <f t="shared" si="0"/>
        <v>55000</v>
      </c>
      <c r="G6" s="2" t="s">
        <v>13</v>
      </c>
      <c r="I6" s="2" t="s">
        <v>18</v>
      </c>
      <c r="J6" s="2">
        <v>62000</v>
      </c>
      <c r="N6" s="2">
        <v>103</v>
      </c>
      <c r="O6" s="2" t="s">
        <v>11</v>
      </c>
      <c r="P6" s="2" t="s">
        <v>12</v>
      </c>
      <c r="Q6" s="2">
        <f t="shared" si="1"/>
        <v>55000</v>
      </c>
      <c r="R6" s="2" t="s">
        <v>13</v>
      </c>
    </row>
    <row r="7" spans="3:18" x14ac:dyDescent="0.3">
      <c r="C7" s="2">
        <v>104</v>
      </c>
      <c r="D7" s="2" t="s">
        <v>14</v>
      </c>
      <c r="E7" s="2" t="s">
        <v>15</v>
      </c>
      <c r="F7" s="2">
        <f t="shared" si="0"/>
        <v>58000</v>
      </c>
      <c r="G7" s="2" t="s">
        <v>16</v>
      </c>
      <c r="I7" s="2" t="s">
        <v>6</v>
      </c>
      <c r="J7" s="2">
        <v>50000</v>
      </c>
      <c r="N7" s="2">
        <v>104</v>
      </c>
      <c r="O7" s="2" t="str">
        <f>HLOOKUP(O3,M10:Q12,3,FALSE)</f>
        <v>Neha</v>
      </c>
      <c r="P7" s="2" t="str">
        <f>HLOOKUP(P3,N10:R12,3,FALSE)</f>
        <v>Marketing</v>
      </c>
      <c r="Q7" s="2">
        <f t="shared" ref="Q7:R7" si="2">HLOOKUP(Q3,O10:S12,3,FALSE)</f>
        <v>58000</v>
      </c>
      <c r="R7" s="2" t="str">
        <f t="shared" si="2"/>
        <v>Bangalore</v>
      </c>
    </row>
    <row r="8" spans="3:18" x14ac:dyDescent="0.3">
      <c r="C8" s="2">
        <v>105</v>
      </c>
      <c r="D8" s="2" t="s">
        <v>17</v>
      </c>
      <c r="E8" s="2" t="s">
        <v>18</v>
      </c>
      <c r="F8" s="2">
        <f t="shared" si="0"/>
        <v>62000</v>
      </c>
      <c r="G8" s="2" t="s">
        <v>19</v>
      </c>
      <c r="I8" s="2" t="s">
        <v>9</v>
      </c>
      <c r="J8" s="2">
        <v>60000</v>
      </c>
      <c r="N8" s="2">
        <v>105</v>
      </c>
      <c r="O8" s="2" t="s">
        <v>17</v>
      </c>
      <c r="P8" s="2" t="s">
        <v>18</v>
      </c>
      <c r="Q8" s="2">
        <f t="shared" si="1"/>
        <v>62000</v>
      </c>
      <c r="R8" s="2" t="s">
        <v>19</v>
      </c>
    </row>
    <row r="10" spans="3:18" x14ac:dyDescent="0.3">
      <c r="N10" s="1" t="s">
        <v>0</v>
      </c>
      <c r="O10" s="1" t="s">
        <v>1</v>
      </c>
      <c r="P10" s="1" t="s">
        <v>2</v>
      </c>
      <c r="Q10" s="1" t="s">
        <v>3</v>
      </c>
      <c r="R10" s="1" t="s">
        <v>4</v>
      </c>
    </row>
    <row r="11" spans="3:18" x14ac:dyDescent="0.3">
      <c r="C11" s="4" t="s">
        <v>20</v>
      </c>
      <c r="D11" s="4" t="s">
        <v>21</v>
      </c>
      <c r="E11" s="4" t="s">
        <v>22</v>
      </c>
      <c r="F11" s="4" t="s">
        <v>23</v>
      </c>
      <c r="G11" s="4" t="s">
        <v>24</v>
      </c>
      <c r="I11" s="4" t="s">
        <v>21</v>
      </c>
      <c r="J11" s="4" t="s">
        <v>22</v>
      </c>
      <c r="N11" s="2">
        <v>101</v>
      </c>
      <c r="O11" s="2" t="s">
        <v>5</v>
      </c>
      <c r="P11" s="2" t="s">
        <v>6</v>
      </c>
      <c r="Q11" s="2">
        <f>VLOOKUP(P11,$I$3:$J$8,2,FALSE)</f>
        <v>50000</v>
      </c>
      <c r="R11" s="2" t="s">
        <v>7</v>
      </c>
    </row>
    <row r="12" spans="3:18" x14ac:dyDescent="0.3">
      <c r="C12" s="3">
        <v>1</v>
      </c>
      <c r="D12" s="3" t="s">
        <v>25</v>
      </c>
      <c r="E12" s="3">
        <f>VLOOKUP(D12,$I$12:$J$16,2,FALSE)</f>
        <v>10</v>
      </c>
      <c r="F12" s="3">
        <v>100</v>
      </c>
      <c r="G12" s="3" t="s">
        <v>26</v>
      </c>
      <c r="I12" s="3" t="s">
        <v>31</v>
      </c>
      <c r="J12" s="3">
        <v>3</v>
      </c>
      <c r="N12" s="2">
        <v>104</v>
      </c>
      <c r="O12" s="2" t="s">
        <v>14</v>
      </c>
      <c r="P12" s="2" t="s">
        <v>15</v>
      </c>
      <c r="Q12" s="2">
        <f t="shared" ref="Q12" si="3">VLOOKUP(P12,$I$3:$J$8,2,FALSE)</f>
        <v>58000</v>
      </c>
      <c r="R12" s="2" t="s">
        <v>16</v>
      </c>
    </row>
    <row r="13" spans="3:18" x14ac:dyDescent="0.3">
      <c r="C13" s="3">
        <v>2</v>
      </c>
      <c r="D13" s="3" t="s">
        <v>27</v>
      </c>
      <c r="E13" s="3">
        <f t="shared" ref="E13:E16" si="4">VLOOKUP(D13,$I$12:$J$16,2,FALSE)</f>
        <v>5</v>
      </c>
      <c r="F13" s="3">
        <v>200</v>
      </c>
      <c r="G13" s="3" t="s">
        <v>28</v>
      </c>
      <c r="I13" s="3" t="s">
        <v>33</v>
      </c>
      <c r="J13" s="3">
        <v>20</v>
      </c>
    </row>
    <row r="14" spans="3:18" x14ac:dyDescent="0.3">
      <c r="C14" s="3">
        <v>3</v>
      </c>
      <c r="D14" s="3" t="s">
        <v>29</v>
      </c>
      <c r="E14" s="3">
        <f t="shared" si="4"/>
        <v>50</v>
      </c>
      <c r="F14" s="3">
        <v>150</v>
      </c>
      <c r="G14" s="3" t="s">
        <v>30</v>
      </c>
      <c r="I14" s="3" t="s">
        <v>25</v>
      </c>
      <c r="J14" s="3">
        <v>10</v>
      </c>
    </row>
    <row r="15" spans="3:18" x14ac:dyDescent="0.3">
      <c r="C15" s="3">
        <v>4</v>
      </c>
      <c r="D15" s="3" t="s">
        <v>31</v>
      </c>
      <c r="E15" s="3">
        <f t="shared" si="4"/>
        <v>3</v>
      </c>
      <c r="F15" s="3">
        <v>300</v>
      </c>
      <c r="G15" s="3" t="s">
        <v>32</v>
      </c>
      <c r="I15" s="3" t="s">
        <v>27</v>
      </c>
      <c r="J15" s="3">
        <v>5</v>
      </c>
      <c r="N15" s="4" t="s">
        <v>20</v>
      </c>
      <c r="O15" s="4" t="s">
        <v>21</v>
      </c>
      <c r="P15" s="4" t="s">
        <v>22</v>
      </c>
      <c r="Q15" s="4" t="s">
        <v>23</v>
      </c>
      <c r="R15" s="4" t="s">
        <v>24</v>
      </c>
    </row>
    <row r="16" spans="3:18" x14ac:dyDescent="0.3">
      <c r="C16" s="3">
        <v>5</v>
      </c>
      <c r="D16" s="3" t="s">
        <v>33</v>
      </c>
      <c r="E16" s="3">
        <f t="shared" si="4"/>
        <v>20</v>
      </c>
      <c r="F16" s="3">
        <v>250</v>
      </c>
      <c r="G16" s="3" t="s">
        <v>34</v>
      </c>
      <c r="I16" s="3" t="s">
        <v>29</v>
      </c>
      <c r="J16" s="3">
        <v>50</v>
      </c>
      <c r="N16" s="3">
        <v>1</v>
      </c>
      <c r="O16" s="3" t="s">
        <v>25</v>
      </c>
      <c r="P16" s="3">
        <f>VLOOKUP(O16,$I$12:$J$16,2,FALSE)</f>
        <v>10</v>
      </c>
      <c r="Q16" s="3">
        <v>100</v>
      </c>
      <c r="R16" s="3" t="s">
        <v>26</v>
      </c>
    </row>
    <row r="17" spans="3:18" x14ac:dyDescent="0.3">
      <c r="N17" s="3">
        <v>2</v>
      </c>
      <c r="O17" s="3" t="s">
        <v>27</v>
      </c>
      <c r="P17" s="3">
        <f t="shared" ref="P17:P20" si="5">VLOOKUP(O17,$I$12:$J$16,2,FALSE)</f>
        <v>5</v>
      </c>
      <c r="Q17" s="3">
        <v>200</v>
      </c>
      <c r="R17" s="3" t="s">
        <v>28</v>
      </c>
    </row>
    <row r="18" spans="3:18" x14ac:dyDescent="0.3">
      <c r="N18" s="3">
        <v>3</v>
      </c>
      <c r="O18" s="3" t="str">
        <f>HLOOKUP(O15,N22:R23,2,FALSE)</f>
        <v>Notebook</v>
      </c>
      <c r="P18" s="3">
        <f t="shared" ref="P18:R18" si="6">HLOOKUP(P15,O22:S23,2,FALSE)</f>
        <v>50</v>
      </c>
      <c r="Q18" s="3">
        <f t="shared" si="6"/>
        <v>150</v>
      </c>
      <c r="R18" s="3" t="str">
        <f t="shared" si="6"/>
        <v>C3</v>
      </c>
    </row>
    <row r="19" spans="3:18" x14ac:dyDescent="0.3">
      <c r="C19" s="5" t="s">
        <v>35</v>
      </c>
      <c r="D19" s="5" t="s">
        <v>36</v>
      </c>
      <c r="E19" s="5" t="s">
        <v>37</v>
      </c>
      <c r="F19" s="5" t="s">
        <v>38</v>
      </c>
      <c r="G19" s="5" t="s">
        <v>39</v>
      </c>
      <c r="I19" s="5" t="s">
        <v>36</v>
      </c>
      <c r="J19" s="5" t="s">
        <v>37</v>
      </c>
      <c r="N19" s="3">
        <v>4</v>
      </c>
      <c r="O19" s="3" t="s">
        <v>31</v>
      </c>
      <c r="P19" s="3">
        <f t="shared" si="5"/>
        <v>3</v>
      </c>
      <c r="Q19" s="3">
        <v>300</v>
      </c>
      <c r="R19" s="3" t="s">
        <v>32</v>
      </c>
    </row>
    <row r="20" spans="3:18" x14ac:dyDescent="0.3">
      <c r="C20" s="6">
        <v>1</v>
      </c>
      <c r="D20" s="6" t="s">
        <v>40</v>
      </c>
      <c r="E20" s="6">
        <f>VLOOKUP(D20,$I$20:$J$24,2,FALSE)</f>
        <v>85</v>
      </c>
      <c r="F20" s="6">
        <v>80</v>
      </c>
      <c r="G20" s="6">
        <v>75</v>
      </c>
      <c r="I20" s="6" t="s">
        <v>42</v>
      </c>
      <c r="J20" s="6">
        <v>92</v>
      </c>
      <c r="N20" s="3">
        <v>5</v>
      </c>
      <c r="O20" s="3" t="s">
        <v>33</v>
      </c>
      <c r="P20" s="3">
        <f t="shared" si="5"/>
        <v>20</v>
      </c>
      <c r="Q20" s="3">
        <v>250</v>
      </c>
      <c r="R20" s="3" t="s">
        <v>34</v>
      </c>
    </row>
    <row r="21" spans="3:18" x14ac:dyDescent="0.3">
      <c r="C21" s="6">
        <v>2</v>
      </c>
      <c r="D21" s="6" t="s">
        <v>41</v>
      </c>
      <c r="E21" s="6">
        <f t="shared" ref="E21" si="7">VLOOKUP(D21,$I$20:$J$24,2,FALSE)</f>
        <v>78</v>
      </c>
      <c r="F21" s="6">
        <v>82</v>
      </c>
      <c r="G21" s="6">
        <v>89</v>
      </c>
      <c r="I21" s="6" t="s">
        <v>43</v>
      </c>
      <c r="J21" s="6">
        <v>74</v>
      </c>
    </row>
    <row r="22" spans="3:18" x14ac:dyDescent="0.3">
      <c r="C22" s="6">
        <v>3</v>
      </c>
      <c r="D22" s="6" t="s">
        <v>42</v>
      </c>
      <c r="E22" s="6">
        <f>VLOOKUP(D22,$I$20:$J$24,2,FALSE)</f>
        <v>92</v>
      </c>
      <c r="F22" s="6">
        <v>91</v>
      </c>
      <c r="G22" s="6">
        <v>84</v>
      </c>
      <c r="I22" s="6" t="s">
        <v>44</v>
      </c>
      <c r="J22" s="6">
        <v>88</v>
      </c>
      <c r="N22" s="4" t="s">
        <v>20</v>
      </c>
      <c r="O22" s="4" t="s">
        <v>21</v>
      </c>
      <c r="P22" s="4" t="s">
        <v>22</v>
      </c>
      <c r="Q22" s="4" t="s">
        <v>23</v>
      </c>
      <c r="R22" s="4" t="s">
        <v>24</v>
      </c>
    </row>
    <row r="23" spans="3:18" x14ac:dyDescent="0.3">
      <c r="C23" s="6">
        <v>4</v>
      </c>
      <c r="D23" s="6" t="s">
        <v>43</v>
      </c>
      <c r="E23" s="6">
        <f t="shared" ref="E23:E24" si="8">VLOOKUP(D23,$I$20:$J$24,2,FALSE)</f>
        <v>74</v>
      </c>
      <c r="F23" s="6">
        <v>76</v>
      </c>
      <c r="G23" s="6">
        <v>77</v>
      </c>
      <c r="I23" s="6" t="s">
        <v>40</v>
      </c>
      <c r="J23" s="6">
        <v>85</v>
      </c>
      <c r="N23" s="3">
        <v>3</v>
      </c>
      <c r="O23" s="3" t="s">
        <v>29</v>
      </c>
      <c r="P23" s="3">
        <f t="shared" ref="P23" si="9">VLOOKUP(O23,$I$12:$J$16,2,FALSE)</f>
        <v>50</v>
      </c>
      <c r="Q23" s="3">
        <v>150</v>
      </c>
      <c r="R23" s="3" t="s">
        <v>30</v>
      </c>
    </row>
    <row r="24" spans="3:18" x14ac:dyDescent="0.3">
      <c r="C24" s="6">
        <v>5</v>
      </c>
      <c r="D24" s="6" t="s">
        <v>44</v>
      </c>
      <c r="E24" s="6">
        <f t="shared" si="8"/>
        <v>88</v>
      </c>
      <c r="F24" s="6">
        <v>85</v>
      </c>
      <c r="G24" s="6">
        <v>90</v>
      </c>
      <c r="I24" s="6" t="s">
        <v>41</v>
      </c>
      <c r="J24" s="6">
        <v>78</v>
      </c>
    </row>
    <row r="26" spans="3:18" x14ac:dyDescent="0.3">
      <c r="N26" s="5" t="s">
        <v>35</v>
      </c>
      <c r="O26" s="5" t="s">
        <v>36</v>
      </c>
      <c r="P26" s="5" t="s">
        <v>37</v>
      </c>
      <c r="Q26" s="5" t="s">
        <v>38</v>
      </c>
      <c r="R26" s="5" t="s">
        <v>39</v>
      </c>
    </row>
    <row r="27" spans="3:18" x14ac:dyDescent="0.3">
      <c r="C27" s="7" t="s">
        <v>45</v>
      </c>
      <c r="D27" s="7" t="s">
        <v>46</v>
      </c>
      <c r="E27" s="7" t="s">
        <v>21</v>
      </c>
      <c r="F27" s="7" t="s">
        <v>47</v>
      </c>
      <c r="G27" s="7" t="s">
        <v>48</v>
      </c>
      <c r="I27" s="7" t="s">
        <v>21</v>
      </c>
      <c r="J27" s="7" t="s">
        <v>48</v>
      </c>
      <c r="N27" s="6">
        <v>1</v>
      </c>
      <c r="O27" s="6" t="s">
        <v>40</v>
      </c>
      <c r="P27" s="6">
        <f>VLOOKUP(O27,$I$20:$J$24,2,FALSE)</f>
        <v>85</v>
      </c>
      <c r="Q27" s="6">
        <v>80</v>
      </c>
      <c r="R27" s="6">
        <v>75</v>
      </c>
    </row>
    <row r="28" spans="3:18" x14ac:dyDescent="0.3">
      <c r="C28" s="8">
        <v>1001</v>
      </c>
      <c r="D28" s="8" t="s">
        <v>49</v>
      </c>
      <c r="E28" s="8" t="s">
        <v>50</v>
      </c>
      <c r="F28" s="8">
        <v>1</v>
      </c>
      <c r="G28" s="8">
        <f>VLOOKUP(E28,I25:J30,2,FALSE)</f>
        <v>60000</v>
      </c>
      <c r="I28" s="8" t="s">
        <v>50</v>
      </c>
      <c r="J28" s="8">
        <v>60000</v>
      </c>
      <c r="N28" s="6">
        <v>2</v>
      </c>
      <c r="O28" s="6" t="s">
        <v>41</v>
      </c>
      <c r="P28" s="6">
        <f t="shared" ref="P28" si="10">VLOOKUP(O28,$I$20:$J$24,2,FALSE)</f>
        <v>78</v>
      </c>
      <c r="Q28" s="6">
        <v>82</v>
      </c>
      <c r="R28" s="6">
        <v>89</v>
      </c>
    </row>
    <row r="29" spans="3:18" x14ac:dyDescent="0.3">
      <c r="C29" s="8">
        <v>1002</v>
      </c>
      <c r="D29" s="8" t="s">
        <v>51</v>
      </c>
      <c r="E29" s="8" t="s">
        <v>52</v>
      </c>
      <c r="F29" s="8">
        <v>2</v>
      </c>
      <c r="G29" s="8">
        <f t="shared" ref="G28:G29" si="11">VLOOKUP(E29,I26:J31,2,FALSE)</f>
        <v>30000</v>
      </c>
      <c r="I29" s="8" t="s">
        <v>58</v>
      </c>
      <c r="J29" s="8">
        <v>25000</v>
      </c>
      <c r="N29" s="6">
        <v>3</v>
      </c>
      <c r="O29" s="6" t="str">
        <f>HLOOKUP(O26,M33:Q34,2,FALSE)</f>
        <v>Vikram</v>
      </c>
      <c r="P29" s="6">
        <f>HLOOKUP(P26,N33:R34,2,FALSE)</f>
        <v>92</v>
      </c>
      <c r="Q29" s="6">
        <f t="shared" ref="Q29:R29" si="12">HLOOKUP(Q26,O33:S34,2,FALSE)</f>
        <v>91</v>
      </c>
      <c r="R29" s="6">
        <f t="shared" si="12"/>
        <v>84</v>
      </c>
    </row>
    <row r="30" spans="3:18" x14ac:dyDescent="0.3">
      <c r="C30" s="8">
        <v>1003</v>
      </c>
      <c r="D30" s="8" t="s">
        <v>53</v>
      </c>
      <c r="E30" s="8" t="s">
        <v>54</v>
      </c>
      <c r="F30" s="8">
        <v>1</v>
      </c>
      <c r="G30" s="8">
        <f>VLOOKUP(E30,I27:J32,2,FALSE)</f>
        <v>20000</v>
      </c>
      <c r="I30" s="8" t="s">
        <v>52</v>
      </c>
      <c r="J30" s="8">
        <v>30000</v>
      </c>
      <c r="N30" s="6">
        <v>4</v>
      </c>
      <c r="O30" s="6" t="s">
        <v>43</v>
      </c>
      <c r="P30" s="6">
        <f t="shared" ref="P30:P31" si="13">VLOOKUP(O30,$I$20:$J$24,2,FALSE)</f>
        <v>74</v>
      </c>
      <c r="Q30" s="6">
        <v>76</v>
      </c>
      <c r="R30" s="6">
        <v>77</v>
      </c>
    </row>
    <row r="31" spans="3:18" x14ac:dyDescent="0.3">
      <c r="C31" s="8">
        <v>1004</v>
      </c>
      <c r="D31" s="8" t="s">
        <v>55</v>
      </c>
      <c r="E31" s="8" t="s">
        <v>56</v>
      </c>
      <c r="F31" s="8">
        <v>3</v>
      </c>
      <c r="G31" s="8">
        <f t="shared" ref="G31:G32" si="14">VLOOKUP(E31,I28:J33,2,FALSE)</f>
        <v>15000</v>
      </c>
      <c r="I31" s="8" t="s">
        <v>56</v>
      </c>
      <c r="J31" s="8">
        <v>15000</v>
      </c>
      <c r="N31" s="6">
        <v>5</v>
      </c>
      <c r="O31" s="6" t="s">
        <v>44</v>
      </c>
      <c r="P31" s="6">
        <f t="shared" si="13"/>
        <v>88</v>
      </c>
      <c r="Q31" s="6">
        <v>85</v>
      </c>
      <c r="R31" s="6">
        <v>90</v>
      </c>
    </row>
    <row r="32" spans="3:18" x14ac:dyDescent="0.3">
      <c r="C32" s="8">
        <v>1005</v>
      </c>
      <c r="D32" s="8" t="s">
        <v>57</v>
      </c>
      <c r="E32" s="8" t="s">
        <v>58</v>
      </c>
      <c r="F32" s="8">
        <v>2</v>
      </c>
      <c r="G32" s="8">
        <f t="shared" si="14"/>
        <v>25000</v>
      </c>
      <c r="I32" s="8" t="s">
        <v>54</v>
      </c>
      <c r="J32" s="8">
        <v>20000</v>
      </c>
    </row>
    <row r="33" spans="3:18" x14ac:dyDescent="0.3">
      <c r="N33" s="5" t="s">
        <v>35</v>
      </c>
      <c r="O33" s="5" t="s">
        <v>36</v>
      </c>
      <c r="P33" s="5" t="s">
        <v>37</v>
      </c>
      <c r="Q33" s="5" t="s">
        <v>38</v>
      </c>
      <c r="R33" s="5" t="s">
        <v>39</v>
      </c>
    </row>
    <row r="34" spans="3:18" x14ac:dyDescent="0.3">
      <c r="N34" s="6">
        <v>3</v>
      </c>
      <c r="O34" s="6" t="s">
        <v>42</v>
      </c>
      <c r="P34" s="6">
        <f>VLOOKUP(O34,$I$20:$J$24,2,FALSE)</f>
        <v>92</v>
      </c>
      <c r="Q34" s="6">
        <v>91</v>
      </c>
      <c r="R34" s="6">
        <v>84</v>
      </c>
    </row>
    <row r="35" spans="3:18" x14ac:dyDescent="0.3">
      <c r="C35" s="9" t="s">
        <v>0</v>
      </c>
      <c r="D35" s="9" t="s">
        <v>1</v>
      </c>
      <c r="E35" s="9" t="s">
        <v>2</v>
      </c>
      <c r="F35" s="9" t="s">
        <v>3</v>
      </c>
      <c r="G35" s="9" t="s">
        <v>4</v>
      </c>
      <c r="I35" s="9" t="s">
        <v>2</v>
      </c>
      <c r="J35" s="9" t="s">
        <v>3</v>
      </c>
    </row>
    <row r="36" spans="3:18" x14ac:dyDescent="0.3">
      <c r="C36" s="10">
        <v>101</v>
      </c>
      <c r="D36" s="10" t="s">
        <v>5</v>
      </c>
      <c r="E36" s="10" t="s">
        <v>6</v>
      </c>
      <c r="F36" s="10">
        <f>VLOOKUP(E36,$I$35:$J$40,2,FALSE)</f>
        <v>50000</v>
      </c>
      <c r="G36" s="10" t="s">
        <v>7</v>
      </c>
      <c r="I36" s="10" t="s">
        <v>18</v>
      </c>
      <c r="J36" s="10">
        <v>62000</v>
      </c>
    </row>
    <row r="37" spans="3:18" x14ac:dyDescent="0.3">
      <c r="C37" s="10">
        <v>102</v>
      </c>
      <c r="D37" s="10" t="s">
        <v>8</v>
      </c>
      <c r="E37" s="10" t="s">
        <v>9</v>
      </c>
      <c r="F37" s="10">
        <f>VLOOKUP(E37,$I$35:$J$40,2,FALSE)</f>
        <v>60000</v>
      </c>
      <c r="G37" s="10" t="s">
        <v>10</v>
      </c>
      <c r="I37" s="10" t="s">
        <v>15</v>
      </c>
      <c r="J37" s="10">
        <v>58000</v>
      </c>
      <c r="N37" s="12" t="s">
        <v>45</v>
      </c>
      <c r="O37" s="12" t="s">
        <v>46</v>
      </c>
      <c r="P37" s="12" t="s">
        <v>21</v>
      </c>
      <c r="Q37" s="12" t="s">
        <v>47</v>
      </c>
      <c r="R37" s="12" t="s">
        <v>48</v>
      </c>
    </row>
    <row r="38" spans="3:18" x14ac:dyDescent="0.3">
      <c r="C38" s="10">
        <v>103</v>
      </c>
      <c r="D38" s="10" t="s">
        <v>11</v>
      </c>
      <c r="E38" s="10" t="s">
        <v>12</v>
      </c>
      <c r="F38" s="10">
        <f t="shared" ref="F38:F40" si="15">VLOOKUP(E38,$I$35:$J$40,2,FALSE)</f>
        <v>55000</v>
      </c>
      <c r="G38" s="10" t="s">
        <v>13</v>
      </c>
      <c r="I38" s="10" t="s">
        <v>6</v>
      </c>
      <c r="J38" s="10">
        <v>50000</v>
      </c>
      <c r="N38" s="13">
        <f t="shared" ref="N38:O38" si="16">HLOOKUP(N37,L44:P45,2,FALSE)</f>
        <v>1001</v>
      </c>
      <c r="O38" s="13" t="str">
        <f t="shared" si="16"/>
        <v>Raj</v>
      </c>
      <c r="P38" s="13" t="str">
        <f>HLOOKUP(P37,N44:R45,2,FALSE)</f>
        <v>Laptop</v>
      </c>
      <c r="Q38" s="13">
        <f t="shared" ref="Q38:R38" si="17">HLOOKUP(Q37,O44:S45,2,FALSE)</f>
        <v>1</v>
      </c>
      <c r="R38" s="13">
        <f t="shared" si="17"/>
        <v>60000</v>
      </c>
    </row>
    <row r="39" spans="3:18" x14ac:dyDescent="0.3">
      <c r="C39" s="10">
        <v>104</v>
      </c>
      <c r="D39" s="10" t="s">
        <v>14</v>
      </c>
      <c r="E39" s="10" t="s">
        <v>15</v>
      </c>
      <c r="F39" s="10">
        <f t="shared" si="15"/>
        <v>58000</v>
      </c>
      <c r="G39" s="10" t="s">
        <v>16</v>
      </c>
      <c r="I39" s="10" t="s">
        <v>12</v>
      </c>
      <c r="J39" s="10">
        <v>55000</v>
      </c>
      <c r="N39" s="13">
        <v>1002</v>
      </c>
      <c r="O39" s="13" t="s">
        <v>51</v>
      </c>
      <c r="P39" s="13" t="s">
        <v>52</v>
      </c>
      <c r="Q39" s="13">
        <v>2</v>
      </c>
      <c r="R39" s="13">
        <v>30000</v>
      </c>
    </row>
    <row r="40" spans="3:18" x14ac:dyDescent="0.3">
      <c r="C40" s="10">
        <v>105</v>
      </c>
      <c r="D40" s="10" t="s">
        <v>17</v>
      </c>
      <c r="E40" s="10" t="s">
        <v>18</v>
      </c>
      <c r="F40" s="10">
        <f t="shared" si="15"/>
        <v>62000</v>
      </c>
      <c r="G40" s="10" t="s">
        <v>19</v>
      </c>
      <c r="I40" s="10" t="s">
        <v>9</v>
      </c>
      <c r="J40" s="10">
        <v>60000</v>
      </c>
      <c r="N40" s="13">
        <v>1003</v>
      </c>
      <c r="O40" s="13" t="s">
        <v>53</v>
      </c>
      <c r="P40" s="13" t="s">
        <v>54</v>
      </c>
      <c r="Q40" s="13">
        <v>1</v>
      </c>
      <c r="R40" s="13">
        <v>20000</v>
      </c>
    </row>
    <row r="41" spans="3:18" x14ac:dyDescent="0.3">
      <c r="N41" s="13">
        <v>1004</v>
      </c>
      <c r="O41" s="13" t="s">
        <v>55</v>
      </c>
      <c r="P41" s="13" t="s">
        <v>56</v>
      </c>
      <c r="Q41" s="13">
        <v>3</v>
      </c>
      <c r="R41" s="13">
        <v>15000</v>
      </c>
    </row>
    <row r="42" spans="3:18" x14ac:dyDescent="0.3">
      <c r="N42" s="13">
        <v>1005</v>
      </c>
      <c r="O42" s="13" t="s">
        <v>57</v>
      </c>
      <c r="P42" s="13" t="s">
        <v>58</v>
      </c>
      <c r="Q42" s="13">
        <v>2</v>
      </c>
      <c r="R42" s="13">
        <v>25000</v>
      </c>
    </row>
    <row r="44" spans="3:18" x14ac:dyDescent="0.3">
      <c r="N44" s="12" t="s">
        <v>45</v>
      </c>
      <c r="O44" s="12" t="s">
        <v>46</v>
      </c>
      <c r="P44" s="12" t="s">
        <v>21</v>
      </c>
      <c r="Q44" s="12" t="s">
        <v>47</v>
      </c>
      <c r="R44" s="12" t="s">
        <v>48</v>
      </c>
    </row>
    <row r="45" spans="3:18" x14ac:dyDescent="0.3">
      <c r="N45" s="13">
        <v>1001</v>
      </c>
      <c r="O45" s="13" t="s">
        <v>49</v>
      </c>
      <c r="P45" s="13" t="s">
        <v>50</v>
      </c>
      <c r="Q45" s="13">
        <v>1</v>
      </c>
      <c r="R45" s="13">
        <v>60000</v>
      </c>
    </row>
    <row r="48" spans="3:18" x14ac:dyDescent="0.3">
      <c r="N48" s="9" t="s">
        <v>0</v>
      </c>
      <c r="O48" s="9" t="s">
        <v>1</v>
      </c>
      <c r="P48" s="9" t="s">
        <v>2</v>
      </c>
      <c r="Q48" s="9" t="s">
        <v>3</v>
      </c>
      <c r="R48" s="9" t="s">
        <v>4</v>
      </c>
    </row>
    <row r="49" spans="14:18" x14ac:dyDescent="0.3">
      <c r="N49" s="10">
        <v>101</v>
      </c>
      <c r="O49" s="10" t="s">
        <v>5</v>
      </c>
      <c r="P49" s="10" t="s">
        <v>6</v>
      </c>
      <c r="Q49" s="10">
        <f>VLOOKUP(P49,$I$35:$J$40,2,FALSE)</f>
        <v>50000</v>
      </c>
      <c r="R49" s="10" t="s">
        <v>7</v>
      </c>
    </row>
    <row r="50" spans="14:18" x14ac:dyDescent="0.3">
      <c r="N50" s="10">
        <v>102</v>
      </c>
      <c r="O50" s="10" t="s">
        <v>8</v>
      </c>
      <c r="P50" s="10" t="s">
        <v>9</v>
      </c>
      <c r="Q50" s="10">
        <f>VLOOKUP(P50,$I$35:$J$40,2,FALSE)</f>
        <v>60000</v>
      </c>
      <c r="R50" s="10" t="s">
        <v>10</v>
      </c>
    </row>
    <row r="51" spans="14:18" x14ac:dyDescent="0.3">
      <c r="N51" s="10">
        <v>103</v>
      </c>
      <c r="O51" s="10" t="s">
        <v>11</v>
      </c>
      <c r="P51" s="10" t="s">
        <v>12</v>
      </c>
      <c r="Q51" s="10">
        <f t="shared" ref="Q51:Q53" si="18">VLOOKUP(P51,$I$35:$J$40,2,FALSE)</f>
        <v>55000</v>
      </c>
      <c r="R51" s="10" t="s">
        <v>13</v>
      </c>
    </row>
    <row r="52" spans="14:18" x14ac:dyDescent="0.3">
      <c r="N52" s="10">
        <f t="shared" ref="N52:P52" si="19">HLOOKUP(N48,K55:O56,2,FALSE)</f>
        <v>104</v>
      </c>
      <c r="O52" s="10" t="str">
        <f t="shared" si="19"/>
        <v>Neha</v>
      </c>
      <c r="P52" s="10" t="str">
        <f t="shared" si="19"/>
        <v>Marketing</v>
      </c>
      <c r="Q52" s="10">
        <f>HLOOKUP(Q48,N55:R56,2,FALSE)</f>
        <v>58000</v>
      </c>
      <c r="R52" s="10" t="str">
        <f>HLOOKUP(R48,O55:S56,2,FALSE)</f>
        <v>Bangalore</v>
      </c>
    </row>
    <row r="53" spans="14:18" x14ac:dyDescent="0.3">
      <c r="N53" s="10">
        <v>105</v>
      </c>
      <c r="O53" s="10" t="s">
        <v>17</v>
      </c>
      <c r="P53" s="10" t="s">
        <v>18</v>
      </c>
      <c r="Q53" s="10">
        <f t="shared" si="18"/>
        <v>62000</v>
      </c>
      <c r="R53" s="10" t="s">
        <v>19</v>
      </c>
    </row>
    <row r="55" spans="14:18" x14ac:dyDescent="0.3">
      <c r="N55" s="9" t="s">
        <v>0</v>
      </c>
      <c r="O55" s="9" t="s">
        <v>1</v>
      </c>
      <c r="P55" s="9" t="s">
        <v>2</v>
      </c>
      <c r="Q55" s="9" t="s">
        <v>3</v>
      </c>
      <c r="R55" s="9" t="s">
        <v>4</v>
      </c>
    </row>
    <row r="56" spans="14:18" x14ac:dyDescent="0.3">
      <c r="N56" s="10">
        <v>104</v>
      </c>
      <c r="O56" s="10" t="s">
        <v>14</v>
      </c>
      <c r="P56" s="10" t="s">
        <v>15</v>
      </c>
      <c r="Q56" s="10">
        <f t="shared" ref="Q56" si="20">VLOOKUP(P56,$I$35:$J$40,2,FALSE)</f>
        <v>58000</v>
      </c>
      <c r="R56" s="10" t="s">
        <v>16</v>
      </c>
    </row>
  </sheetData>
  <mergeCells count="2">
    <mergeCell ref="F1:G1"/>
    <mergeCell ref="O1:Q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VandHLOOKUP Task01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Prathamesh Gode</cp:lastModifiedBy>
  <dcterms:created xsi:type="dcterms:W3CDTF">2025-09-26T15:56:20Z</dcterms:created>
  <dcterms:modified xsi:type="dcterms:W3CDTF">2025-09-27T17:28:07Z</dcterms:modified>
</cp:coreProperties>
</file>